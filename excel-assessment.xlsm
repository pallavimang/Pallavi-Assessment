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MapUp-Data-Assessment-F-main 1\MapUp-Data-Assessment-F-main\"/>
    </mc:Choice>
  </mc:AlternateContent>
  <xr:revisionPtr revIDLastSave="0" documentId="13_ncr:1_{38601663-3408-44AA-8F82-45F6E21449EB}" xr6:coauthVersionLast="47" xr6:coauthVersionMax="47" xr10:uidLastSave="{00000000-0000-0000-0000-000000000000}"/>
  <bookViews>
    <workbookView xWindow="-108" yWindow="-108" windowWidth="23256" windowHeight="12576" tabRatio="547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H4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<sst xmlns="http://schemas.openxmlformats.org/spreadsheetml/2006/main" count="543" uniqueCount="179">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</sst>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[Green]#,###;[Red]\-#,###;0;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3" fillId="0" borderId="0" xfId="0" applyNumberFormat="1" applyFont="1"/>
    <xf numFmtId="166" fontId="18" fillId="0" borderId="0" xfId="0" applyNumberFormat="1" applyFont="1"/>
    <xf numFmtId="0" fontId="3" fillId="6" borderId="0" xfId="0" applyFont="1" applyFill="1"/>
    <xf numFmtId="167" fontId="7" fillId="0" borderId="0" xfId="0" applyNumberFormat="1" applyFont="1"/>
    <xf numFmtId="167" fontId="3" fillId="0" borderId="0" xfId="0" applyNumberFormat="1" applyFont="1"/>
    <xf numFmtId="0" fontId="7" fillId="0" borderId="2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464820</xdr:colOff>
      <xdr:row>68</xdr:row>
      <xdr:rowOff>15240</xdr:rowOff>
    </xdr:from>
    <xdr:to>
      <xdr:col>6</xdr:col>
      <xdr:colOff>281940</xdr:colOff>
      <xdr:row>71</xdr:row>
      <xdr:rowOff>175260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DF048E-3D5B-062B-EEC4-9BBF09811208}"/>
            </a:ext>
          </a:extLst>
        </xdr:cNvPr>
        <xdr:cNvSpPr txBox="1"/>
      </xdr:nvSpPr>
      <xdr:spPr>
        <a:xfrm>
          <a:off x="7444740" y="12451080"/>
          <a:ext cx="2316480" cy="708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/>
            <a:t>FORMULAS :</a:t>
          </a:r>
        </a:p>
        <a:p>
          <a:r>
            <a:rPr lang="en-IN" sz="1100"/>
            <a:t>1)</a:t>
          </a:r>
          <a:r>
            <a:rPr lang="en-I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[Green]#,###;[red]-#,###;0;</a:t>
          </a:r>
          <a:r>
            <a:rPr lang="en-IN"/>
            <a:t> </a:t>
          </a:r>
        </a:p>
        <a:p>
          <a:r>
            <a:rPr lang="en-IN" sz="1100"/>
            <a:t>3)=SUMIF(H2:H40,"&gt;20")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14</xdr:row>
      <xdr:rowOff>19050</xdr:rowOff>
    </xdr:from>
    <xdr:to>
      <xdr:col>14</xdr:col>
      <xdr:colOff>525780</xdr:colOff>
      <xdr:row>53</xdr:row>
      <xdr:rowOff>106680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A9531BB-761F-88DE-3F3B-8BE6DA63A395}"/>
            </a:ext>
          </a:extLst>
        </xdr:cNvPr>
        <xdr:cNvSpPr txBox="1"/>
      </xdr:nvSpPr>
      <xdr:spPr>
        <a:xfrm>
          <a:off x="6797040" y="3013710"/>
          <a:ext cx="6263640" cy="7219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Explanation:</a:t>
          </a:r>
        </a:p>
        <a:p>
          <a:r>
            <a:rPr lang="en-IN" sz="1100"/>
            <a:t>1) </a:t>
          </a:r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Using Excel Formulas</a:t>
          </a:r>
        </a:p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Suppose your values are in column A starting from A1.</a:t>
          </a:r>
        </a:p>
        <a:p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Text to Columns: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If your values are separated by a specific character, you can use the Text to Columns feature as mentioned in Method 1.</a:t>
          </a:r>
        </a:p>
        <a:p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Using LEFT, MID, RIGHT Functions: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If your values have a consistent pattern, you can use formulas to extract specific parts.</a:t>
          </a:r>
        </a:p>
        <a:p>
          <a:pPr lvl="1"/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example, if your values are in the format "FirstName LastName":</a:t>
          </a:r>
          <a:endParaRPr lang="en-IN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2"/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cell B1, use the formula =LEFT(A1, FIND(" ", A1) - 1) to extract the first name.</a:t>
          </a:r>
        </a:p>
        <a:p>
          <a:pPr lvl="2"/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cell C1, use the formula =MID(A1, FIND(" ", A1) + 1, LEN(A1) - FIND(" ", A1)) to extract the last name.</a:t>
          </a:r>
        </a:p>
        <a:p>
          <a:r>
            <a:rPr lang="en-IN" sz="1100"/>
            <a:t>2)</a:t>
          </a:r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Text-to-Columns</a:t>
          </a:r>
        </a:p>
        <a:p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the Column: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Select the column containing the values you want to split.</a:t>
          </a:r>
        </a:p>
        <a:p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Tab: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Go to the "Data" tab on the Excel ribbon.</a:t>
          </a:r>
        </a:p>
        <a:p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Text to Columns: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 on "Text to Columns" in the "Data Tools" group.</a:t>
          </a:r>
        </a:p>
        <a:p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Choose Delimited: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wizard, choose "Delimited" and click "Next."</a:t>
          </a:r>
        </a:p>
        <a:p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Delimiters: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Choose the delimiter that separates your values (e.g., comma, space). If your values are separated by a specific character, select the appropriate option. Click "Next."</a:t>
          </a:r>
        </a:p>
        <a:p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 Data Format: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Choose the appropriate data format for the columns. If you're not sure, you can leave it as "General." Click "Finish."</a:t>
          </a:r>
        </a:p>
        <a:p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10</xdr:row>
      <xdr:rowOff>15240</xdr:rowOff>
    </xdr:from>
    <xdr:to>
      <xdr:col>11</xdr:col>
      <xdr:colOff>525780</xdr:colOff>
      <xdr:row>23</xdr:row>
      <xdr:rowOff>91440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2C8CEA5-E182-89B6-FFBF-0D6BE22884FD}"/>
            </a:ext>
          </a:extLst>
        </xdr:cNvPr>
        <xdr:cNvSpPr txBox="1"/>
      </xdr:nvSpPr>
      <xdr:spPr>
        <a:xfrm>
          <a:off x="5387340" y="2057400"/>
          <a:ext cx="6202680" cy="2446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Explanation:</a:t>
          </a:r>
          <a:r>
            <a:rPr lang="en-IN"/>
            <a:t>  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this Excel task, the goal is to calculate the sum of sales from a table (Table_A), but with a specific condition. The condition states that any #N/A values in the Sales column should be substituted with the value '20' before performing the sum calculation. To achieve this, the formula =SUM(IF(ISNUMBER(C12:C21), C12:C21, 20)) is utilized.</a:t>
          </a:r>
        </a:p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Breaking down the formula, the ISNUMBER(C12:C21) part checks each cell in the Sales column to determine if it contains a number. This results in an array of TRUE for numeric values and FALSE for cells containing errors, such as #N/A. The IF(ISNUMBER(C12:C21), C12:C21, 20) section uses the IF function to replace numeric values with their original values and replaces errors with '20'. Finally, the SUM(IF(ISNUMBER(C12:C21), C12:C21, 20)) part calculates the sum of the modified values, providing the total sales while handling errors by considering them as '20'. This formula offers a flexible approach to summing a range, accommodating potential errors or missing data in the process.</a:t>
          </a:r>
        </a:p>
        <a:p>
          <a:r>
            <a:rPr lang="en-IN" sz="1100" b="1"/>
            <a:t>FORMULA: </a:t>
          </a:r>
          <a:r>
            <a:rPr lang="en-IN" sz="1100" b="0"/>
            <a:t>=SUM(IF(ISNUMBER(C12:C21), C12:C21, 20))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</xdr:colOff>
      <xdr:row>29</xdr:row>
      <xdr:rowOff>152400</xdr:rowOff>
    </xdr:from>
    <xdr:to>
      <xdr:col>15</xdr:col>
      <xdr:colOff>373380</xdr:colOff>
      <xdr:row>42</xdr:row>
      <xdr:rowOff>129540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066CE01-A3D8-1924-3BA0-3506313D034E}"/>
            </a:ext>
          </a:extLst>
        </xdr:cNvPr>
        <xdr:cNvSpPr txBox="1"/>
      </xdr:nvSpPr>
      <xdr:spPr>
        <a:xfrm>
          <a:off x="8793480" y="6065520"/>
          <a:ext cx="4076700" cy="2560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Explanation: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 formula utilizes Excel's INDEX and MATCH functions to dynamically retrieve the corresponding "Name" values from Table_B based on the "name_1" and "name_2" IDs in Table_C. It concatenates these names with a hyphen to form the desired output. The MATCH function finds the positions of the IDs in Table_B, and the INDEX function fetches the corresponding names. This approach ensures accurate pairing of IDs with their respective names, creating a hyphen-separated string in the "value" column of Table_C.</a:t>
          </a:r>
        </a:p>
        <a:p>
          <a:r>
            <a:rPr lang="en-I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</a:t>
          </a:r>
          <a:r>
            <a:rPr lang="en-IN"/>
            <a:t> </a:t>
          </a:r>
          <a:r>
            <a:rPr lang="en-IN" sz="1100"/>
            <a:t>=INDEX($B$10:$J$18,MATCH(K39,$B$10:$J$18,0),MATCH([@name_2],$B$10:$E$18,0))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7" t="s">
        <v>172</v>
      </c>
      <c r="B9" s="26" t="s">
        <v>170</v>
      </c>
    </row>
    <row r="10" spans="1:3" x14ac:dyDescent="0.3">
      <c r="A10" s="36" t="s">
        <v>173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="68" zoomScaleNormal="68" workbookViewId="0">
      <selection activeCell="A40" sqref="A40:XFD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2.7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2.7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2.7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2.7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2.7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2.7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2.7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2.7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2.7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2.7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2.7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2.7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3" priority="2"/>
  </conditionalFormatting>
  <conditionalFormatting sqref="B1:B1048576">
    <cfRule type="duplicateValues" dxfId="2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X65"/>
  <sheetViews>
    <sheetView tabSelected="1" zoomScaleNormal="100" workbookViewId="0">
      <pane ySplit="1" topLeftCell="A2" activePane="bottomLeft" state="frozen"/>
      <selection pane="bottomLeft" activeCell="F64" sqref="F64"/>
    </sheetView>
  </sheetViews>
  <sheetFormatPr defaultColWidth="11" defaultRowHeight="14.4" x14ac:dyDescent="0.3"/>
  <cols>
    <col min="1" max="1" width="8.44140625" style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23" width="11" style="1"/>
    <col min="24" max="24" width="11" style="49"/>
    <col min="25" max="16384" width="11" style="1"/>
  </cols>
  <sheetData>
    <row r="1" spans="1:24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48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45">
        <v>2.7</v>
      </c>
      <c r="H2" s="45">
        <v>3.6</v>
      </c>
      <c r="I2" s="45">
        <v>4.2</v>
      </c>
      <c r="J2" s="45">
        <v>-1</v>
      </c>
      <c r="K2" s="45">
        <v>-1</v>
      </c>
      <c r="L2" s="45">
        <v>-1</v>
      </c>
      <c r="M2" s="45">
        <v>5.3</v>
      </c>
      <c r="N2" s="45">
        <v>7.6</v>
      </c>
      <c r="O2" s="45">
        <v>8.9</v>
      </c>
      <c r="P2" s="45">
        <v>2.7</v>
      </c>
      <c r="Q2" s="45">
        <v>3.6</v>
      </c>
      <c r="R2" s="45">
        <v>4.2</v>
      </c>
      <c r="S2" s="45">
        <v>7.6</v>
      </c>
      <c r="T2" s="45">
        <v>8.9</v>
      </c>
      <c r="U2" s="45">
        <v>3.6</v>
      </c>
      <c r="V2" s="45">
        <v>4.2</v>
      </c>
      <c r="W2" s="45">
        <v>4.2</v>
      </c>
      <c r="X2" s="49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45">
        <v>2.7</v>
      </c>
      <c r="H3" s="45">
        <v>3.6</v>
      </c>
      <c r="I3" s="45">
        <v>4.2</v>
      </c>
      <c r="J3" s="45">
        <v>-1</v>
      </c>
      <c r="K3" s="45">
        <v>-1</v>
      </c>
      <c r="L3" s="45">
        <v>-1</v>
      </c>
      <c r="M3" s="45">
        <v>5.3</v>
      </c>
      <c r="N3" s="45">
        <v>7.6</v>
      </c>
      <c r="O3" s="45">
        <v>8.9</v>
      </c>
      <c r="P3" s="45">
        <v>2.7</v>
      </c>
      <c r="Q3" s="45">
        <v>3.6</v>
      </c>
      <c r="R3" s="45">
        <v>4.2</v>
      </c>
      <c r="S3" s="45">
        <v>7.6</v>
      </c>
      <c r="T3" s="45">
        <v>8.9</v>
      </c>
      <c r="U3" s="45">
        <v>3.6</v>
      </c>
      <c r="V3" s="45">
        <v>4.2</v>
      </c>
      <c r="W3" s="45">
        <v>4.2</v>
      </c>
      <c r="X3" s="49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45">
        <v>3.6</v>
      </c>
      <c r="H4" s="45">
        <v>5.4</v>
      </c>
      <c r="I4" s="45">
        <v>5.8</v>
      </c>
      <c r="J4" s="45">
        <v>-1</v>
      </c>
      <c r="K4" s="45">
        <v>-1</v>
      </c>
      <c r="L4" s="45">
        <v>-1</v>
      </c>
      <c r="M4" s="45">
        <v>7.6</v>
      </c>
      <c r="N4" s="45">
        <v>11.1</v>
      </c>
      <c r="O4" s="45">
        <v>12.2</v>
      </c>
      <c r="P4" s="45">
        <v>3.6</v>
      </c>
      <c r="Q4" s="45">
        <v>5.4</v>
      </c>
      <c r="R4" s="45">
        <v>5.8</v>
      </c>
      <c r="S4" s="45">
        <v>11.1</v>
      </c>
      <c r="T4" s="45">
        <v>12.2</v>
      </c>
      <c r="U4" s="45">
        <v>5.4</v>
      </c>
      <c r="V4" s="45">
        <v>5.8</v>
      </c>
      <c r="W4" s="45">
        <v>5.8</v>
      </c>
      <c r="X4" s="49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45">
        <v>4.9000000000000004</v>
      </c>
      <c r="H5" s="45">
        <v>6.6</v>
      </c>
      <c r="I5" s="45">
        <v>8.1</v>
      </c>
      <c r="J5" s="45">
        <v>-1</v>
      </c>
      <c r="K5" s="45">
        <v>-1</v>
      </c>
      <c r="L5" s="45">
        <v>-1</v>
      </c>
      <c r="M5" s="45">
        <v>10</v>
      </c>
      <c r="N5" s="45">
        <v>13.3</v>
      </c>
      <c r="O5" s="45">
        <v>17</v>
      </c>
      <c r="P5" s="45">
        <v>4.9000000000000004</v>
      </c>
      <c r="Q5" s="45">
        <v>6.6</v>
      </c>
      <c r="R5" s="45">
        <v>8.1</v>
      </c>
      <c r="S5" s="45">
        <v>13.3</v>
      </c>
      <c r="T5" s="45">
        <v>17</v>
      </c>
      <c r="U5" s="45">
        <v>6.6</v>
      </c>
      <c r="V5" s="45">
        <v>8.1</v>
      </c>
      <c r="W5" s="45">
        <v>8.1</v>
      </c>
      <c r="X5" s="49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45">
        <v>6.6</v>
      </c>
      <c r="H6" s="45">
        <v>8.8000000000000007</v>
      </c>
      <c r="I6" s="45">
        <v>11</v>
      </c>
      <c r="J6" s="45">
        <v>-1</v>
      </c>
      <c r="K6" s="45">
        <v>-1</v>
      </c>
      <c r="L6" s="45">
        <v>-1</v>
      </c>
      <c r="M6" s="45">
        <v>13.3</v>
      </c>
      <c r="N6" s="45">
        <v>18</v>
      </c>
      <c r="O6" s="45">
        <v>22.5</v>
      </c>
      <c r="P6" s="45">
        <v>6.6</v>
      </c>
      <c r="Q6" s="45">
        <v>8.8000000000000007</v>
      </c>
      <c r="R6" s="45">
        <v>11</v>
      </c>
      <c r="S6" s="45">
        <v>18</v>
      </c>
      <c r="T6" s="45">
        <v>22.5</v>
      </c>
      <c r="U6" s="45">
        <v>8.8000000000000007</v>
      </c>
      <c r="V6" s="45">
        <v>11</v>
      </c>
      <c r="W6" s="45">
        <v>11</v>
      </c>
      <c r="X6" s="49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45">
        <v>7.1</v>
      </c>
      <c r="H7" s="45">
        <v>10.4</v>
      </c>
      <c r="I7" s="45">
        <v>12.8</v>
      </c>
      <c r="J7" s="45">
        <v>-1</v>
      </c>
      <c r="K7" s="45">
        <v>-1</v>
      </c>
      <c r="L7" s="45">
        <v>-1</v>
      </c>
      <c r="M7" s="45">
        <v>14.4</v>
      </c>
      <c r="N7" s="45">
        <v>21.5</v>
      </c>
      <c r="O7" s="45">
        <v>26.1</v>
      </c>
      <c r="P7" s="45">
        <v>7.1</v>
      </c>
      <c r="Q7" s="45">
        <v>10.4</v>
      </c>
      <c r="R7" s="45">
        <v>12.8</v>
      </c>
      <c r="S7" s="45">
        <v>21.5</v>
      </c>
      <c r="T7" s="45">
        <v>26.1</v>
      </c>
      <c r="U7" s="45">
        <v>10.4</v>
      </c>
      <c r="V7" s="45">
        <v>12.8</v>
      </c>
      <c r="W7" s="45">
        <v>12.8</v>
      </c>
      <c r="X7" s="49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45">
        <v>9.4</v>
      </c>
      <c r="H8" s="45">
        <v>13.8</v>
      </c>
      <c r="I8" s="45">
        <v>16.100000000000001</v>
      </c>
      <c r="J8" s="45">
        <v>-1</v>
      </c>
      <c r="K8" s="45">
        <v>-1</v>
      </c>
      <c r="L8" s="45">
        <v>-1</v>
      </c>
      <c r="M8" s="45">
        <v>19.2</v>
      </c>
      <c r="N8" s="45">
        <v>28.3</v>
      </c>
      <c r="O8" s="45">
        <v>32.799999999999997</v>
      </c>
      <c r="P8" s="45">
        <v>9.4</v>
      </c>
      <c r="Q8" s="45">
        <v>13.8</v>
      </c>
      <c r="R8" s="45">
        <v>16.100000000000001</v>
      </c>
      <c r="S8" s="45">
        <v>28.3</v>
      </c>
      <c r="T8" s="45">
        <v>32.799999999999997</v>
      </c>
      <c r="U8" s="45">
        <v>13.8</v>
      </c>
      <c r="V8" s="45">
        <v>16.100000000000001</v>
      </c>
      <c r="W8" s="45">
        <v>16.100000000000001</v>
      </c>
      <c r="X8" s="49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45">
        <v>11.6</v>
      </c>
      <c r="H9" s="45">
        <v>17.3</v>
      </c>
      <c r="I9" s="45">
        <v>21.3</v>
      </c>
      <c r="J9" s="45">
        <v>-1</v>
      </c>
      <c r="K9" s="45">
        <v>-1</v>
      </c>
      <c r="L9" s="45">
        <v>-1</v>
      </c>
      <c r="M9" s="45">
        <v>23.6</v>
      </c>
      <c r="N9" s="45">
        <v>35.200000000000003</v>
      </c>
      <c r="O9" s="45">
        <v>43</v>
      </c>
      <c r="P9" s="45">
        <v>11.6</v>
      </c>
      <c r="Q9" s="45">
        <v>17.3</v>
      </c>
      <c r="R9" s="45">
        <v>21.3</v>
      </c>
      <c r="S9" s="45">
        <v>35.200000000000003</v>
      </c>
      <c r="T9" s="45">
        <v>43</v>
      </c>
      <c r="U9" s="45">
        <v>17.3</v>
      </c>
      <c r="V9" s="45">
        <v>21.3</v>
      </c>
      <c r="W9" s="45">
        <v>21.3</v>
      </c>
      <c r="X9" s="49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45">
        <v>16.100000000000001</v>
      </c>
      <c r="H10" s="45">
        <v>24.1</v>
      </c>
      <c r="I10" s="45">
        <v>29.1</v>
      </c>
      <c r="J10" s="45">
        <v>-1</v>
      </c>
      <c r="K10" s="45">
        <v>-1</v>
      </c>
      <c r="L10" s="45">
        <v>-1</v>
      </c>
      <c r="M10" s="45">
        <v>32.799999999999997</v>
      </c>
      <c r="N10" s="45">
        <v>49</v>
      </c>
      <c r="O10" s="45">
        <v>59</v>
      </c>
      <c r="P10" s="45">
        <v>16.100000000000001</v>
      </c>
      <c r="Q10" s="45">
        <v>24.1</v>
      </c>
      <c r="R10" s="45">
        <v>29.1</v>
      </c>
      <c r="S10" s="45">
        <v>49</v>
      </c>
      <c r="T10" s="45">
        <v>59</v>
      </c>
      <c r="U10" s="45">
        <v>24.1</v>
      </c>
      <c r="V10" s="45">
        <v>29.1</v>
      </c>
      <c r="W10" s="45">
        <v>29.1</v>
      </c>
      <c r="X10" s="49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45">
        <v>18.399999999999999</v>
      </c>
      <c r="H11" s="45">
        <v>27.5</v>
      </c>
      <c r="I11" s="45">
        <v>33.799999999999997</v>
      </c>
      <c r="J11" s="45">
        <v>-1</v>
      </c>
      <c r="K11" s="45">
        <v>-1</v>
      </c>
      <c r="L11" s="45">
        <v>-1</v>
      </c>
      <c r="M11" s="45">
        <v>37.200000000000003</v>
      </c>
      <c r="N11" s="45">
        <v>55.6</v>
      </c>
      <c r="O11" s="45">
        <v>67.900000000000006</v>
      </c>
      <c r="P11" s="45">
        <v>18.399999999999999</v>
      </c>
      <c r="Q11" s="45">
        <v>27.5</v>
      </c>
      <c r="R11" s="45">
        <v>33.799999999999997</v>
      </c>
      <c r="S11" s="45">
        <v>55.6</v>
      </c>
      <c r="T11" s="45">
        <v>67.900000000000006</v>
      </c>
      <c r="U11" s="45">
        <v>27.5</v>
      </c>
      <c r="V11" s="45">
        <v>33.799999999999997</v>
      </c>
      <c r="W11" s="45">
        <v>33.799999999999997</v>
      </c>
      <c r="X11" s="49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9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45">
        <v>21.9</v>
      </c>
      <c r="H13" s="45">
        <v>32.1</v>
      </c>
      <c r="I13" s="45">
        <v>40.1</v>
      </c>
      <c r="J13" s="45">
        <v>-1</v>
      </c>
      <c r="K13" s="45">
        <v>-1</v>
      </c>
      <c r="L13" s="45">
        <v>-1</v>
      </c>
      <c r="M13" s="45">
        <v>42.3</v>
      </c>
      <c r="N13" s="45">
        <v>61.5</v>
      </c>
      <c r="O13" s="45">
        <v>76.599999999999994</v>
      </c>
      <c r="P13" s="45">
        <v>21.9</v>
      </c>
      <c r="Q13" s="45">
        <v>32.1</v>
      </c>
      <c r="R13" s="45">
        <v>40.1</v>
      </c>
      <c r="S13" s="45">
        <v>61.5</v>
      </c>
      <c r="T13" s="45">
        <v>76.599999999999994</v>
      </c>
      <c r="U13" s="45">
        <v>32.1</v>
      </c>
      <c r="V13" s="45">
        <v>40.1</v>
      </c>
      <c r="W13" s="45">
        <v>40.1</v>
      </c>
      <c r="X13" s="49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45">
        <v>23.5</v>
      </c>
      <c r="H14" s="45">
        <v>34.700000000000003</v>
      </c>
      <c r="I14" s="45">
        <v>42.7</v>
      </c>
      <c r="J14" s="45">
        <v>-1</v>
      </c>
      <c r="K14" s="45">
        <v>-1</v>
      </c>
      <c r="L14" s="45">
        <v>-1</v>
      </c>
      <c r="M14" s="45">
        <v>47.7</v>
      </c>
      <c r="N14" s="45">
        <v>70.8</v>
      </c>
      <c r="O14" s="45">
        <v>86.6</v>
      </c>
      <c r="P14" s="45">
        <v>23.5</v>
      </c>
      <c r="Q14" s="45">
        <v>34.700000000000003</v>
      </c>
      <c r="R14" s="45">
        <v>42.7</v>
      </c>
      <c r="S14" s="45">
        <v>70.8</v>
      </c>
      <c r="T14" s="45">
        <v>86.6</v>
      </c>
      <c r="U14" s="45">
        <v>34.700000000000003</v>
      </c>
      <c r="V14" s="45">
        <v>42.7</v>
      </c>
      <c r="W14" s="45">
        <v>42.7</v>
      </c>
      <c r="X14" s="49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45">
        <v>26.8</v>
      </c>
      <c r="H15" s="45">
        <v>39.299999999999997</v>
      </c>
      <c r="I15" s="45">
        <v>47.9</v>
      </c>
      <c r="J15" s="45">
        <v>-1</v>
      </c>
      <c r="K15" s="45">
        <v>-1</v>
      </c>
      <c r="L15" s="45">
        <v>-1</v>
      </c>
      <c r="M15" s="45">
        <v>54.6</v>
      </c>
      <c r="N15" s="45">
        <v>79.599999999999994</v>
      </c>
      <c r="O15" s="45">
        <v>96.8</v>
      </c>
      <c r="P15" s="45">
        <v>26.8</v>
      </c>
      <c r="Q15" s="45">
        <v>39.299999999999997</v>
      </c>
      <c r="R15" s="45">
        <v>47.9</v>
      </c>
      <c r="S15" s="45">
        <v>79.599999999999994</v>
      </c>
      <c r="T15" s="45">
        <v>96.8</v>
      </c>
      <c r="U15" s="45">
        <v>39.299999999999997</v>
      </c>
      <c r="V15" s="45">
        <v>47.9</v>
      </c>
      <c r="W15" s="45">
        <v>47.9</v>
      </c>
      <c r="X15" s="49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45">
        <v>28</v>
      </c>
      <c r="H16" s="45">
        <v>41</v>
      </c>
      <c r="I16" s="45">
        <v>50.1</v>
      </c>
      <c r="J16" s="45">
        <v>-1</v>
      </c>
      <c r="K16" s="45">
        <v>-1</v>
      </c>
      <c r="L16" s="45">
        <v>-1</v>
      </c>
      <c r="M16" s="45">
        <v>56.7</v>
      </c>
      <c r="N16" s="45">
        <v>83.2</v>
      </c>
      <c r="O16" s="45">
        <v>101.3</v>
      </c>
      <c r="P16" s="45">
        <v>28</v>
      </c>
      <c r="Q16" s="45">
        <v>41</v>
      </c>
      <c r="R16" s="45">
        <v>50.1</v>
      </c>
      <c r="S16" s="45">
        <v>83.2</v>
      </c>
      <c r="T16" s="45">
        <v>101.3</v>
      </c>
      <c r="U16" s="45">
        <v>41</v>
      </c>
      <c r="V16" s="45">
        <v>50.1</v>
      </c>
      <c r="W16" s="45">
        <v>50.1</v>
      </c>
      <c r="X16" s="49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45">
        <v>28.5</v>
      </c>
      <c r="H17" s="45">
        <v>42.3</v>
      </c>
      <c r="I17" s="45">
        <v>52.3</v>
      </c>
      <c r="J17" s="45">
        <v>-1</v>
      </c>
      <c r="K17" s="45">
        <v>-1</v>
      </c>
      <c r="L17" s="45">
        <v>-1</v>
      </c>
      <c r="M17" s="45">
        <v>58.3</v>
      </c>
      <c r="N17" s="45">
        <v>85.4</v>
      </c>
      <c r="O17" s="45">
        <v>106.1</v>
      </c>
      <c r="P17" s="45">
        <v>28.5</v>
      </c>
      <c r="Q17" s="45">
        <v>42.3</v>
      </c>
      <c r="R17" s="45">
        <v>52.3</v>
      </c>
      <c r="S17" s="45">
        <v>85.4</v>
      </c>
      <c r="T17" s="45">
        <v>106.1</v>
      </c>
      <c r="U17" s="45">
        <v>42.3</v>
      </c>
      <c r="V17" s="45">
        <v>52.3</v>
      </c>
      <c r="W17" s="45">
        <v>52.3</v>
      </c>
      <c r="X17" s="49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45">
        <v>29.1</v>
      </c>
      <c r="H18" s="45">
        <v>43.3</v>
      </c>
      <c r="I18" s="45">
        <v>53.7</v>
      </c>
      <c r="J18" s="45">
        <v>-1</v>
      </c>
      <c r="K18" s="45">
        <v>-1</v>
      </c>
      <c r="L18" s="45">
        <v>-1</v>
      </c>
      <c r="M18" s="45">
        <v>59</v>
      </c>
      <c r="N18" s="45">
        <v>87.6</v>
      </c>
      <c r="O18" s="45">
        <v>108.8</v>
      </c>
      <c r="P18" s="45">
        <v>29.1</v>
      </c>
      <c r="Q18" s="45">
        <v>43.3</v>
      </c>
      <c r="R18" s="45">
        <v>53.7</v>
      </c>
      <c r="S18" s="45">
        <v>87.6</v>
      </c>
      <c r="T18" s="45">
        <v>108.8</v>
      </c>
      <c r="U18" s="45">
        <v>43.3</v>
      </c>
      <c r="V18" s="45">
        <v>53.7</v>
      </c>
      <c r="W18" s="45">
        <v>53.7</v>
      </c>
      <c r="X18" s="49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45">
        <v>30.7</v>
      </c>
      <c r="H19" s="45">
        <v>45.5</v>
      </c>
      <c r="I19" s="45">
        <v>57</v>
      </c>
      <c r="J19" s="45">
        <v>-1</v>
      </c>
      <c r="K19" s="45">
        <v>-1</v>
      </c>
      <c r="L19" s="45">
        <v>-1</v>
      </c>
      <c r="M19" s="45">
        <v>62.5</v>
      </c>
      <c r="N19" s="45">
        <v>92.1</v>
      </c>
      <c r="O19" s="45">
        <v>115.1</v>
      </c>
      <c r="P19" s="45">
        <v>30.7</v>
      </c>
      <c r="Q19" s="45">
        <v>45.5</v>
      </c>
      <c r="R19" s="45">
        <v>57</v>
      </c>
      <c r="S19" s="45">
        <v>92.1</v>
      </c>
      <c r="T19" s="45">
        <v>115.1</v>
      </c>
      <c r="U19" s="45">
        <v>45.5</v>
      </c>
      <c r="V19" s="45">
        <v>57</v>
      </c>
      <c r="W19" s="45">
        <v>57</v>
      </c>
      <c r="X19" s="49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45">
        <v>33.799999999999997</v>
      </c>
      <c r="H20" s="45">
        <v>50.1</v>
      </c>
      <c r="I20" s="45">
        <v>61.4</v>
      </c>
      <c r="J20" s="45">
        <v>-1</v>
      </c>
      <c r="K20" s="45">
        <v>-1</v>
      </c>
      <c r="L20" s="45">
        <v>-1</v>
      </c>
      <c r="M20" s="45">
        <v>67.900000000000006</v>
      </c>
      <c r="N20" s="45">
        <v>101.3</v>
      </c>
      <c r="O20" s="45">
        <v>124.4</v>
      </c>
      <c r="P20" s="45">
        <v>33.799999999999997</v>
      </c>
      <c r="Q20" s="45">
        <v>50.1</v>
      </c>
      <c r="R20" s="45">
        <v>61.4</v>
      </c>
      <c r="S20" s="45">
        <v>101.3</v>
      </c>
      <c r="T20" s="45">
        <v>124.4</v>
      </c>
      <c r="U20" s="45">
        <v>50.1</v>
      </c>
      <c r="V20" s="45">
        <v>61.4</v>
      </c>
      <c r="W20" s="45">
        <v>61.4</v>
      </c>
      <c r="X20" s="49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45">
        <v>34.700000000000003</v>
      </c>
      <c r="H21" s="45">
        <v>52.3</v>
      </c>
      <c r="I21" s="45">
        <v>63.6</v>
      </c>
      <c r="J21" s="45">
        <v>-1</v>
      </c>
      <c r="K21" s="45">
        <v>-1</v>
      </c>
      <c r="L21" s="45">
        <v>-1</v>
      </c>
      <c r="M21" s="45">
        <v>70.8</v>
      </c>
      <c r="N21" s="45">
        <v>106.1</v>
      </c>
      <c r="O21" s="45">
        <v>128.6</v>
      </c>
      <c r="P21" s="45">
        <v>34.700000000000003</v>
      </c>
      <c r="Q21" s="45">
        <v>52.3</v>
      </c>
      <c r="R21" s="45">
        <v>63.6</v>
      </c>
      <c r="S21" s="45">
        <v>106.1</v>
      </c>
      <c r="T21" s="45">
        <v>128.6</v>
      </c>
      <c r="U21" s="45">
        <v>52.3</v>
      </c>
      <c r="V21" s="45">
        <v>63.6</v>
      </c>
      <c r="W21" s="45">
        <v>63.6</v>
      </c>
      <c r="X21" s="49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45">
        <v>36.5</v>
      </c>
      <c r="H22" s="45">
        <v>54.6</v>
      </c>
      <c r="I22" s="45">
        <v>65.900000000000006</v>
      </c>
      <c r="J22" s="45">
        <v>-1</v>
      </c>
      <c r="K22" s="45">
        <v>-1</v>
      </c>
      <c r="L22" s="45">
        <v>-1</v>
      </c>
      <c r="M22" s="45">
        <v>73.900000000000006</v>
      </c>
      <c r="N22" s="45">
        <v>110.3</v>
      </c>
      <c r="O22" s="45">
        <v>133.4</v>
      </c>
      <c r="P22" s="45">
        <v>36.5</v>
      </c>
      <c r="Q22" s="45">
        <v>54.6</v>
      </c>
      <c r="R22" s="45">
        <v>65.900000000000006</v>
      </c>
      <c r="S22" s="45">
        <v>110.3</v>
      </c>
      <c r="T22" s="45">
        <v>133.4</v>
      </c>
      <c r="U22" s="45">
        <v>54.6</v>
      </c>
      <c r="V22" s="45">
        <v>65.900000000000006</v>
      </c>
      <c r="W22" s="45">
        <v>65.900000000000006</v>
      </c>
      <c r="X22" s="49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45">
        <v>38</v>
      </c>
      <c r="H23" s="45">
        <v>57.2</v>
      </c>
      <c r="I23" s="45">
        <v>68.7</v>
      </c>
      <c r="J23" s="45">
        <v>-1</v>
      </c>
      <c r="K23" s="45">
        <v>-1</v>
      </c>
      <c r="L23" s="45">
        <v>-1</v>
      </c>
      <c r="M23" s="45">
        <v>76.599999999999994</v>
      </c>
      <c r="N23" s="45">
        <v>115.5</v>
      </c>
      <c r="O23" s="45">
        <v>138.80000000000001</v>
      </c>
      <c r="P23" s="45">
        <v>38</v>
      </c>
      <c r="Q23" s="45">
        <v>57.2</v>
      </c>
      <c r="R23" s="45">
        <v>68.7</v>
      </c>
      <c r="S23" s="45">
        <v>115.5</v>
      </c>
      <c r="T23" s="45">
        <v>138.80000000000001</v>
      </c>
      <c r="U23" s="45">
        <v>57.2</v>
      </c>
      <c r="V23" s="45">
        <v>68.7</v>
      </c>
      <c r="W23" s="45">
        <v>68.7</v>
      </c>
      <c r="X23" s="49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45">
        <v>38.700000000000003</v>
      </c>
      <c r="H24" s="45">
        <v>59.2</v>
      </c>
      <c r="I24" s="45">
        <v>70.400000000000006</v>
      </c>
      <c r="J24" s="45">
        <v>-1</v>
      </c>
      <c r="K24" s="45">
        <v>-1</v>
      </c>
      <c r="L24" s="45">
        <v>-1</v>
      </c>
      <c r="M24" s="45">
        <v>78.599999999999994</v>
      </c>
      <c r="N24" s="45">
        <v>119.4</v>
      </c>
      <c r="O24" s="45">
        <v>142.5</v>
      </c>
      <c r="P24" s="45">
        <v>38.700000000000003</v>
      </c>
      <c r="Q24" s="45">
        <v>59.2</v>
      </c>
      <c r="R24" s="45">
        <v>70.400000000000006</v>
      </c>
      <c r="S24" s="45">
        <v>119.4</v>
      </c>
      <c r="T24" s="45">
        <v>142.5</v>
      </c>
      <c r="U24" s="45">
        <v>59.2</v>
      </c>
      <c r="V24" s="45">
        <v>70.400000000000006</v>
      </c>
      <c r="W24" s="45">
        <v>70.400000000000006</v>
      </c>
      <c r="X24" s="49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45">
        <v>40.1</v>
      </c>
      <c r="H25" s="45">
        <v>59.2</v>
      </c>
      <c r="I25" s="45">
        <v>72.8</v>
      </c>
      <c r="J25" s="45">
        <v>-1</v>
      </c>
      <c r="K25" s="45">
        <v>-1</v>
      </c>
      <c r="L25" s="45">
        <v>-1</v>
      </c>
      <c r="M25" s="45">
        <v>80.8</v>
      </c>
      <c r="N25" s="45">
        <v>119.4</v>
      </c>
      <c r="O25" s="45">
        <v>146.80000000000001</v>
      </c>
      <c r="P25" s="45">
        <v>40.1</v>
      </c>
      <c r="Q25" s="45">
        <v>59.2</v>
      </c>
      <c r="R25" s="45">
        <v>72.8</v>
      </c>
      <c r="S25" s="45">
        <v>119.4</v>
      </c>
      <c r="T25" s="45">
        <v>146.80000000000001</v>
      </c>
      <c r="U25" s="45">
        <v>59.2</v>
      </c>
      <c r="V25" s="45">
        <v>72.8</v>
      </c>
      <c r="W25" s="45">
        <v>72.8</v>
      </c>
      <c r="X25" s="49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6">
        <v>0</v>
      </c>
      <c r="H26" s="46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9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45">
        <v>41.3</v>
      </c>
      <c r="H27" s="45">
        <v>61.4</v>
      </c>
      <c r="I27" s="45">
        <v>75</v>
      </c>
      <c r="J27" s="45">
        <v>-1</v>
      </c>
      <c r="K27" s="45">
        <v>-1</v>
      </c>
      <c r="L27" s="45">
        <v>-1</v>
      </c>
      <c r="M27" s="45">
        <v>83.5</v>
      </c>
      <c r="N27" s="45">
        <v>124.4</v>
      </c>
      <c r="O27" s="45">
        <v>151.5</v>
      </c>
      <c r="P27" s="45">
        <v>41.3</v>
      </c>
      <c r="Q27" s="45">
        <v>61.4</v>
      </c>
      <c r="R27" s="45">
        <v>75</v>
      </c>
      <c r="S27" s="45">
        <v>124.4</v>
      </c>
      <c r="T27" s="45">
        <v>151.5</v>
      </c>
      <c r="U27" s="45">
        <v>61.4</v>
      </c>
      <c r="V27" s="45">
        <v>75</v>
      </c>
      <c r="W27" s="45">
        <v>75</v>
      </c>
      <c r="X27" s="49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45">
        <v>42.3</v>
      </c>
      <c r="H28" s="45">
        <v>61.4</v>
      </c>
      <c r="I28" s="45">
        <v>75</v>
      </c>
      <c r="J28" s="45">
        <v>-1</v>
      </c>
      <c r="K28" s="45">
        <v>-1</v>
      </c>
      <c r="L28" s="45">
        <v>-1</v>
      </c>
      <c r="M28" s="45">
        <v>85.4</v>
      </c>
      <c r="N28" s="45">
        <v>124.4</v>
      </c>
      <c r="O28" s="45">
        <v>151.5</v>
      </c>
      <c r="P28" s="45">
        <v>42.3</v>
      </c>
      <c r="Q28" s="45">
        <v>61.4</v>
      </c>
      <c r="R28" s="45">
        <v>75</v>
      </c>
      <c r="S28" s="45">
        <v>124.4</v>
      </c>
      <c r="T28" s="45">
        <v>151.5</v>
      </c>
      <c r="U28" s="45">
        <v>61.4</v>
      </c>
      <c r="V28" s="45">
        <v>75</v>
      </c>
      <c r="W28" s="45">
        <v>75</v>
      </c>
      <c r="X28" s="49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45">
        <v>43.3</v>
      </c>
      <c r="H29" s="45">
        <v>63.6</v>
      </c>
      <c r="I29" s="45">
        <v>77.2</v>
      </c>
      <c r="J29" s="45">
        <v>-1</v>
      </c>
      <c r="K29" s="45">
        <v>-1</v>
      </c>
      <c r="L29" s="45">
        <v>-1</v>
      </c>
      <c r="M29" s="45">
        <v>87.6</v>
      </c>
      <c r="N29" s="45">
        <v>128.6</v>
      </c>
      <c r="O29" s="45">
        <v>156.4</v>
      </c>
      <c r="P29" s="45">
        <v>43.3</v>
      </c>
      <c r="Q29" s="45">
        <v>63.6</v>
      </c>
      <c r="R29" s="45">
        <v>77.2</v>
      </c>
      <c r="S29" s="45">
        <v>128.6</v>
      </c>
      <c r="T29" s="45">
        <v>156.4</v>
      </c>
      <c r="U29" s="45">
        <v>63.6</v>
      </c>
      <c r="V29" s="45">
        <v>77.2</v>
      </c>
      <c r="W29" s="45">
        <v>77.2</v>
      </c>
      <c r="X29" s="49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5">
        <v>-1</v>
      </c>
      <c r="H30" s="45">
        <v>-1</v>
      </c>
      <c r="I30" s="45">
        <v>-1</v>
      </c>
      <c r="J30" s="45">
        <v>-1</v>
      </c>
      <c r="K30" s="45">
        <v>-1</v>
      </c>
      <c r="L30" s="45">
        <v>-1</v>
      </c>
      <c r="M30" s="45">
        <v>-1</v>
      </c>
      <c r="N30" s="45">
        <v>-1</v>
      </c>
      <c r="O30" s="45">
        <v>-1</v>
      </c>
      <c r="P30" s="45">
        <v>-1</v>
      </c>
      <c r="Q30" s="45">
        <v>-1</v>
      </c>
      <c r="R30" s="45">
        <v>-1</v>
      </c>
      <c r="S30" s="45">
        <v>-1</v>
      </c>
      <c r="T30" s="45">
        <v>-1</v>
      </c>
      <c r="U30" s="45">
        <v>-1</v>
      </c>
      <c r="V30" s="45">
        <v>-1</v>
      </c>
      <c r="W30" s="45">
        <v>-1</v>
      </c>
      <c r="X30" s="49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45">
        <v>45</v>
      </c>
      <c r="H31" s="45">
        <v>65.900000000000006</v>
      </c>
      <c r="I31" s="45">
        <v>79.400000000000006</v>
      </c>
      <c r="J31" s="45">
        <v>-1</v>
      </c>
      <c r="K31" s="45">
        <v>-1</v>
      </c>
      <c r="L31" s="45">
        <v>-1</v>
      </c>
      <c r="M31" s="45">
        <v>90.9</v>
      </c>
      <c r="N31" s="45">
        <v>133.4</v>
      </c>
      <c r="O31" s="45">
        <v>160.9</v>
      </c>
      <c r="P31" s="45">
        <v>45</v>
      </c>
      <c r="Q31" s="45">
        <v>65.900000000000006</v>
      </c>
      <c r="R31" s="45">
        <v>79.400000000000006</v>
      </c>
      <c r="S31" s="45">
        <v>133.4</v>
      </c>
      <c r="T31" s="45">
        <v>160.9</v>
      </c>
      <c r="U31" s="45">
        <v>65.900000000000006</v>
      </c>
      <c r="V31" s="45">
        <v>79.400000000000006</v>
      </c>
      <c r="W31" s="45">
        <v>79.400000000000006</v>
      </c>
      <c r="X31" s="49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5">
        <v>-1</v>
      </c>
      <c r="H32" s="45">
        <v>-1</v>
      </c>
      <c r="I32" s="45">
        <v>-1</v>
      </c>
      <c r="J32" s="45">
        <v>-1</v>
      </c>
      <c r="K32" s="45">
        <v>-1</v>
      </c>
      <c r="L32" s="45">
        <v>-1</v>
      </c>
      <c r="M32" s="45">
        <v>-1</v>
      </c>
      <c r="N32" s="45">
        <v>-1</v>
      </c>
      <c r="O32" s="45">
        <v>-1</v>
      </c>
      <c r="P32" s="45">
        <v>-1</v>
      </c>
      <c r="Q32" s="45">
        <v>-1</v>
      </c>
      <c r="R32" s="45">
        <v>-1</v>
      </c>
      <c r="S32" s="45">
        <v>-1</v>
      </c>
      <c r="T32" s="45">
        <v>-1</v>
      </c>
      <c r="U32" s="45">
        <v>-1</v>
      </c>
      <c r="V32" s="45">
        <v>-1</v>
      </c>
      <c r="W32" s="45">
        <v>-1</v>
      </c>
      <c r="X32" s="49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45">
        <v>41.5</v>
      </c>
      <c r="H33" s="45">
        <v>61.4</v>
      </c>
      <c r="I33" s="45">
        <v>75</v>
      </c>
      <c r="J33" s="45">
        <v>-1</v>
      </c>
      <c r="K33" s="45">
        <v>-1</v>
      </c>
      <c r="L33" s="45">
        <v>-1</v>
      </c>
      <c r="M33" s="45">
        <v>84.6</v>
      </c>
      <c r="N33" s="45">
        <v>124.4</v>
      </c>
      <c r="O33" s="45">
        <v>151.5</v>
      </c>
      <c r="P33" s="45">
        <v>41.5</v>
      </c>
      <c r="Q33" s="45">
        <v>61.4</v>
      </c>
      <c r="R33" s="45">
        <v>75</v>
      </c>
      <c r="S33" s="45">
        <v>124.4</v>
      </c>
      <c r="T33" s="45">
        <v>151.5</v>
      </c>
      <c r="U33" s="45">
        <v>61.4</v>
      </c>
      <c r="V33" s="45">
        <v>75</v>
      </c>
      <c r="W33" s="45">
        <v>75</v>
      </c>
      <c r="X33" s="49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45">
        <v>43.3</v>
      </c>
      <c r="H34" s="45">
        <v>63.6</v>
      </c>
      <c r="I34" s="45">
        <v>79.400000000000006</v>
      </c>
      <c r="J34" s="45">
        <v>-1</v>
      </c>
      <c r="K34" s="45">
        <v>-1</v>
      </c>
      <c r="L34" s="45">
        <v>-1</v>
      </c>
      <c r="M34" s="45">
        <v>87.6</v>
      </c>
      <c r="N34" s="45">
        <v>128.6</v>
      </c>
      <c r="O34" s="45">
        <v>160.9</v>
      </c>
      <c r="P34" s="45">
        <v>43.3</v>
      </c>
      <c r="Q34" s="45">
        <v>63.6</v>
      </c>
      <c r="R34" s="45">
        <v>79.400000000000006</v>
      </c>
      <c r="S34" s="45">
        <v>128.6</v>
      </c>
      <c r="T34" s="45">
        <v>160.9</v>
      </c>
      <c r="U34" s="45">
        <v>63.6</v>
      </c>
      <c r="V34" s="45">
        <v>79.400000000000006</v>
      </c>
      <c r="W34" s="45">
        <v>79.400000000000006</v>
      </c>
      <c r="X34" s="49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45">
        <v>44.5</v>
      </c>
      <c r="H35" s="45">
        <v>65.900000000000006</v>
      </c>
      <c r="I35" s="45">
        <v>81.8</v>
      </c>
      <c r="J35" s="45">
        <v>-1</v>
      </c>
      <c r="K35" s="45">
        <v>-1</v>
      </c>
      <c r="L35" s="45">
        <v>-1</v>
      </c>
      <c r="M35" s="45">
        <v>89.9</v>
      </c>
      <c r="N35" s="45">
        <v>133.4</v>
      </c>
      <c r="O35" s="45">
        <v>165.3</v>
      </c>
      <c r="P35" s="45">
        <v>44.5</v>
      </c>
      <c r="Q35" s="45">
        <v>65.900000000000006</v>
      </c>
      <c r="R35" s="45">
        <v>81.8</v>
      </c>
      <c r="S35" s="45">
        <v>133.4</v>
      </c>
      <c r="T35" s="45">
        <v>165.3</v>
      </c>
      <c r="U35" s="45">
        <v>65.900000000000006</v>
      </c>
      <c r="V35" s="45">
        <v>81.8</v>
      </c>
      <c r="W35" s="45">
        <v>81.8</v>
      </c>
      <c r="X35" s="49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45">
        <v>47.3</v>
      </c>
      <c r="H36" s="45">
        <v>70.400000000000006</v>
      </c>
      <c r="I36" s="45">
        <v>86.4</v>
      </c>
      <c r="J36" s="45">
        <v>-1</v>
      </c>
      <c r="K36" s="45">
        <v>-1</v>
      </c>
      <c r="L36" s="45">
        <v>-1</v>
      </c>
      <c r="M36" s="45">
        <v>95.6</v>
      </c>
      <c r="N36" s="45">
        <v>142.5</v>
      </c>
      <c r="O36" s="45">
        <v>174.2</v>
      </c>
      <c r="P36" s="45">
        <v>47.3</v>
      </c>
      <c r="Q36" s="45">
        <v>70.400000000000006</v>
      </c>
      <c r="R36" s="45">
        <v>86.4</v>
      </c>
      <c r="S36" s="45">
        <v>142.5</v>
      </c>
      <c r="T36" s="45">
        <v>174.2</v>
      </c>
      <c r="U36" s="45">
        <v>70.400000000000006</v>
      </c>
      <c r="V36" s="45">
        <v>86.4</v>
      </c>
      <c r="W36" s="45">
        <v>86.4</v>
      </c>
      <c r="X36" s="49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45">
        <v>48.3</v>
      </c>
      <c r="H37" s="45">
        <v>72</v>
      </c>
      <c r="I37" s="45">
        <v>89</v>
      </c>
      <c r="J37" s="45">
        <v>-1</v>
      </c>
      <c r="K37" s="45">
        <v>-1</v>
      </c>
      <c r="L37" s="45">
        <v>-1</v>
      </c>
      <c r="M37" s="45">
        <v>97.9</v>
      </c>
      <c r="N37" s="45">
        <v>145.5</v>
      </c>
      <c r="O37" s="45">
        <v>179.8</v>
      </c>
      <c r="P37" s="45">
        <v>48.3</v>
      </c>
      <c r="Q37" s="45">
        <v>72</v>
      </c>
      <c r="R37" s="45">
        <v>89</v>
      </c>
      <c r="S37" s="45">
        <v>145.5</v>
      </c>
      <c r="T37" s="45">
        <v>179.8</v>
      </c>
      <c r="U37" s="45">
        <v>72</v>
      </c>
      <c r="V37" s="45">
        <v>89</v>
      </c>
      <c r="W37" s="45">
        <v>89</v>
      </c>
      <c r="X37" s="49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45">
        <v>49.1</v>
      </c>
      <c r="H38" s="45">
        <v>72.8</v>
      </c>
      <c r="I38" s="45">
        <v>90.9</v>
      </c>
      <c r="J38" s="45">
        <v>-1</v>
      </c>
      <c r="K38" s="45">
        <v>-1</v>
      </c>
      <c r="L38" s="45">
        <v>-1</v>
      </c>
      <c r="M38" s="45">
        <v>99.5</v>
      </c>
      <c r="N38" s="45">
        <v>146.80000000000001</v>
      </c>
      <c r="O38" s="45">
        <v>183.5</v>
      </c>
      <c r="P38" s="45">
        <v>49.1</v>
      </c>
      <c r="Q38" s="45">
        <v>72.8</v>
      </c>
      <c r="R38" s="45">
        <v>90.9</v>
      </c>
      <c r="S38" s="45">
        <v>146.80000000000001</v>
      </c>
      <c r="T38" s="45">
        <v>183.5</v>
      </c>
      <c r="U38" s="45">
        <v>72.8</v>
      </c>
      <c r="V38" s="45">
        <v>90.9</v>
      </c>
      <c r="W38" s="45">
        <v>90.9</v>
      </c>
      <c r="X38" s="49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45">
        <v>50.6</v>
      </c>
      <c r="H39" s="45">
        <v>75</v>
      </c>
      <c r="I39" s="45">
        <v>93.1</v>
      </c>
      <c r="J39" s="45">
        <v>-1</v>
      </c>
      <c r="K39" s="45">
        <v>-1</v>
      </c>
      <c r="L39" s="45">
        <v>-1</v>
      </c>
      <c r="M39" s="45">
        <v>102.6</v>
      </c>
      <c r="N39" s="45">
        <v>151.5</v>
      </c>
      <c r="O39" s="45">
        <v>188.1</v>
      </c>
      <c r="P39" s="45">
        <v>50.6</v>
      </c>
      <c r="Q39" s="45">
        <v>75</v>
      </c>
      <c r="R39" s="45">
        <v>93.1</v>
      </c>
      <c r="S39" s="45">
        <v>151.5</v>
      </c>
      <c r="T39" s="45">
        <v>188.1</v>
      </c>
      <c r="U39" s="45">
        <v>75</v>
      </c>
      <c r="V39" s="45">
        <v>93.1</v>
      </c>
      <c r="W39" s="45">
        <v>93.1</v>
      </c>
      <c r="X39" s="49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45">
        <v>51.8</v>
      </c>
      <c r="H40" s="45">
        <v>77.2</v>
      </c>
      <c r="I40" s="45">
        <v>93.1</v>
      </c>
      <c r="J40" s="45">
        <v>-1</v>
      </c>
      <c r="K40" s="45">
        <v>-1</v>
      </c>
      <c r="L40" s="45">
        <v>-1</v>
      </c>
      <c r="M40" s="45">
        <v>104.5</v>
      </c>
      <c r="N40" s="45">
        <v>156.4</v>
      </c>
      <c r="O40" s="45">
        <v>188.1</v>
      </c>
      <c r="P40" s="45">
        <v>51.8</v>
      </c>
      <c r="Q40" s="45">
        <v>77.2</v>
      </c>
      <c r="R40" s="45">
        <v>93.1</v>
      </c>
      <c r="S40" s="45">
        <v>156.4</v>
      </c>
      <c r="T40" s="45">
        <v>188.1</v>
      </c>
      <c r="U40" s="45">
        <v>77.2</v>
      </c>
      <c r="V40" s="45">
        <v>93.1</v>
      </c>
      <c r="W40" s="45">
        <v>93.1</v>
      </c>
      <c r="X40" s="49">
        <v>45162</v>
      </c>
    </row>
    <row r="41" spans="1:24" x14ac:dyDescent="0.3">
      <c r="A41" s="47" t="s">
        <v>178</v>
      </c>
      <c r="H41" s="1">
        <f>SUMIF(H2:H40,"&gt;20")</f>
        <v>1473.0000000000002</v>
      </c>
    </row>
    <row r="60" spans="1:5" x14ac:dyDescent="0.3">
      <c r="A60" s="4" t="s">
        <v>47</v>
      </c>
      <c r="B60" s="4" t="s">
        <v>48</v>
      </c>
      <c r="C60" s="4" t="s">
        <v>44</v>
      </c>
      <c r="E60" s="4" t="s">
        <v>177</v>
      </c>
    </row>
    <row r="61" spans="1:5" x14ac:dyDescent="0.3">
      <c r="A61" s="2"/>
      <c r="B61" s="5" t="s">
        <v>161</v>
      </c>
      <c r="C61" s="2"/>
    </row>
    <row r="62" spans="1:5" x14ac:dyDescent="0.3">
      <c r="A62" s="6">
        <v>1</v>
      </c>
      <c r="B62" s="2" t="s">
        <v>108</v>
      </c>
      <c r="C62" s="2" t="s">
        <v>45</v>
      </c>
      <c r="E62" s="1">
        <v>5</v>
      </c>
    </row>
    <row r="63" spans="1:5" x14ac:dyDescent="0.3">
      <c r="A63" s="6">
        <v>2</v>
      </c>
      <c r="B63" s="2" t="s">
        <v>46</v>
      </c>
      <c r="C63" s="2"/>
      <c r="E63" s="1">
        <v>5</v>
      </c>
    </row>
    <row r="64" spans="1:5" x14ac:dyDescent="0.3">
      <c r="A64" s="6">
        <v>3</v>
      </c>
      <c r="B64" s="2" t="s">
        <v>104</v>
      </c>
      <c r="C64" s="35" t="s">
        <v>105</v>
      </c>
      <c r="E64" s="1">
        <v>10</v>
      </c>
    </row>
    <row r="65" spans="1:5" x14ac:dyDescent="0.3">
      <c r="A65" s="6">
        <v>4</v>
      </c>
      <c r="B65" s="2" t="s">
        <v>107</v>
      </c>
      <c r="C65" s="2"/>
      <c r="E65" s="1">
        <v>5</v>
      </c>
    </row>
  </sheetData>
  <conditionalFormatting sqref="A1:A40">
    <cfRule type="duplicateValues" dxfId="1" priority="2"/>
  </conditionalFormatting>
  <conditionalFormatting sqref="B1:B40">
    <cfRule type="duplicateValues" dxfId="0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165</v>
      </c>
    </row>
    <row r="2" spans="1:7" s="42" customFormat="1" ht="21" x14ac:dyDescent="0.4">
      <c r="B2" s="42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v>2.7</v>
      </c>
      <c r="C6" s="12">
        <v>7.6</v>
      </c>
      <c r="D6" s="12">
        <v>4.2</v>
      </c>
      <c r="E6" s="12">
        <v>8.9</v>
      </c>
      <c r="F6" s="8">
        <v>4.2</v>
      </c>
    </row>
    <row r="7" spans="1:7" ht="14.4" x14ac:dyDescent="0.3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4" x14ac:dyDescent="0.3">
      <c r="A8" s="7" t="s">
        <v>7</v>
      </c>
      <c r="B8" s="12">
        <v>2.7</v>
      </c>
      <c r="C8" s="12">
        <v>11.1</v>
      </c>
      <c r="D8" s="12">
        <v>5.8</v>
      </c>
      <c r="E8" s="12">
        <v>12.2</v>
      </c>
      <c r="F8" s="8">
        <v>5.8</v>
      </c>
    </row>
    <row r="9" spans="1:7" ht="14.4" x14ac:dyDescent="0.3">
      <c r="A9" s="7" t="s">
        <v>8</v>
      </c>
      <c r="B9" s="12">
        <v>2.7</v>
      </c>
      <c r="C9" s="12">
        <v>13.3</v>
      </c>
      <c r="D9" s="12">
        <v>8.1</v>
      </c>
      <c r="E9" s="12">
        <v>17</v>
      </c>
      <c r="F9" s="8">
        <v>8.1</v>
      </c>
    </row>
    <row r="10" spans="1:7" ht="14.4" x14ac:dyDescent="0.3">
      <c r="A10" s="7" t="s">
        <v>11</v>
      </c>
      <c r="B10" s="12">
        <v>2.7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4" x14ac:dyDescent="0.3">
      <c r="A11" s="7" t="s">
        <v>12</v>
      </c>
      <c r="B11" s="12">
        <v>2.7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4" x14ac:dyDescent="0.3">
      <c r="A12" s="7" t="s">
        <v>14</v>
      </c>
      <c r="B12" s="12">
        <v>2.7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4" x14ac:dyDescent="0.3">
      <c r="A13" s="7" t="s">
        <v>15</v>
      </c>
      <c r="B13" s="12">
        <v>2.7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16</v>
      </c>
      <c r="B14" s="12">
        <v>2.7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4" x14ac:dyDescent="0.3">
      <c r="A15" s="7" t="s">
        <v>18</v>
      </c>
      <c r="B15" s="12">
        <v>2.7</v>
      </c>
      <c r="C15" s="12">
        <v>79.599999999999994</v>
      </c>
      <c r="D15" s="12">
        <v>47.9</v>
      </c>
      <c r="E15" s="12">
        <v>96.1</v>
      </c>
      <c r="F15" s="8">
        <v>47.9</v>
      </c>
    </row>
    <row r="16" spans="1:7" ht="14.4" x14ac:dyDescent="0.3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4" x14ac:dyDescent="0.3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4" x14ac:dyDescent="0.3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4" x14ac:dyDescent="0.3">
      <c r="A19" s="7" t="s">
        <v>24</v>
      </c>
      <c r="B19" s="12">
        <v>34.700000000000003</v>
      </c>
      <c r="C19" s="12">
        <v>106.1</v>
      </c>
      <c r="D19" s="12">
        <v>63.4</v>
      </c>
      <c r="E19" s="12">
        <v>128.6</v>
      </c>
      <c r="F19" s="8">
        <v>63.6</v>
      </c>
    </row>
    <row r="20" spans="1:6" ht="14.4" x14ac:dyDescent="0.3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4" x14ac:dyDescent="0.3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4" x14ac:dyDescent="0.3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4" x14ac:dyDescent="0.3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4" x14ac:dyDescent="0.3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4" x14ac:dyDescent="0.3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4" x14ac:dyDescent="0.3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4" x14ac:dyDescent="0.3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4" x14ac:dyDescent="0.3">
      <c r="A28" s="19" t="s">
        <v>82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spans="1:6" ht="14.4" x14ac:dyDescent="0.3">
      <c r="A29" s="19" t="s">
        <v>83</v>
      </c>
      <c r="B29" s="32">
        <f>MAX(B6:B27)</f>
        <v>51.8</v>
      </c>
      <c r="C29" s="32">
        <f>MAX(C6:C27)</f>
        <v>156.4</v>
      </c>
      <c r="D29" s="32">
        <f>MAX(D6:D27)</f>
        <v>93.1</v>
      </c>
      <c r="E29" s="32">
        <f>MAX(E6:E27)</f>
        <v>188.1</v>
      </c>
      <c r="F29" s="32">
        <f>MAX(F6:F27)</f>
        <v>93.1</v>
      </c>
    </row>
    <row r="30" spans="1:6" ht="14.4" x14ac:dyDescent="0.3">
      <c r="A30" s="19" t="s">
        <v>84</v>
      </c>
      <c r="B30" s="32">
        <f>AVERAGE(B6:B27)</f>
        <v>17.418181818181822</v>
      </c>
      <c r="C30" s="32">
        <f>AVERAGE(C6:C27)</f>
        <v>62.377272727272725</v>
      </c>
      <c r="D30" s="32">
        <f>AVERAGE(D6:D27)</f>
        <v>37.790909090909089</v>
      </c>
      <c r="E30" s="32">
        <f>AVERAGE(E6:E27)</f>
        <v>76.38636363636364</v>
      </c>
      <c r="F30" s="32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57" sqref="F57"/>
    </sheetView>
  </sheetViews>
  <sheetFormatPr defaultColWidth="11" defaultRowHeight="14.4" x14ac:dyDescent="0.3"/>
  <cols>
    <col min="1" max="1" width="39.77734375" style="1" bestFit="1" customWidth="1"/>
    <col min="2" max="2" width="11" style="1" customWidth="1"/>
    <col min="3" max="16384" width="11" style="1"/>
  </cols>
  <sheetData>
    <row r="1" spans="1:10" s="42" customFormat="1" ht="21" x14ac:dyDescent="0.4">
      <c r="A1" s="43" t="s">
        <v>56</v>
      </c>
      <c r="B1" s="42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154</v>
      </c>
      <c r="B6" s="41"/>
    </row>
    <row r="7" spans="1:10" ht="18" x14ac:dyDescent="0.35">
      <c r="A7" s="44"/>
      <c r="B7" s="41"/>
    </row>
    <row r="9" spans="1:10" ht="23.4" x14ac:dyDescent="0.45">
      <c r="A9" s="18" t="s">
        <v>166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13" sqref="C1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85</v>
      </c>
      <c r="B1" s="42" t="s">
        <v>168</v>
      </c>
    </row>
    <row r="2" spans="1:3" ht="18" x14ac:dyDescent="0.35">
      <c r="B2" s="41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8" t="s">
        <v>163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 t="e">
        <v>#N/A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 t="e">
        <v>#N/A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155</v>
      </c>
      <c r="C17" s="17">
        <v>150</v>
      </c>
    </row>
    <row r="18" spans="1:3" ht="14.4" x14ac:dyDescent="0.3">
      <c r="A18" s="33">
        <v>44933</v>
      </c>
      <c r="B18" s="17" t="s">
        <v>156</v>
      </c>
      <c r="C18" s="17">
        <v>80</v>
      </c>
    </row>
    <row r="19" spans="1:3" ht="14.4" x14ac:dyDescent="0.3">
      <c r="A19" s="33">
        <v>44934</v>
      </c>
      <c r="B19" s="17" t="s">
        <v>157</v>
      </c>
      <c r="C19" s="17" t="e">
        <v>#N/A</v>
      </c>
    </row>
    <row r="20" spans="1:3" ht="14.4" x14ac:dyDescent="0.3">
      <c r="A20" s="33">
        <v>44935</v>
      </c>
      <c r="B20" s="17" t="s">
        <v>158</v>
      </c>
      <c r="C20" s="17">
        <v>30</v>
      </c>
    </row>
    <row r="21" spans="1:3" ht="14.4" x14ac:dyDescent="0.3">
      <c r="A21" s="33">
        <v>44936</v>
      </c>
      <c r="B21" s="17" t="s">
        <v>159</v>
      </c>
      <c r="C21" s="17" t="e">
        <v>#N/A</v>
      </c>
    </row>
    <row r="22" spans="1:3" ht="14.4" x14ac:dyDescent="0.3">
      <c r="B22" s="17" t="s">
        <v>160</v>
      </c>
      <c r="C22" s="25" cm="1">
        <f t="array" ref="C22">SUM(IF(ISNUMBER(C12:C21), C12:C21, 20))</f>
        <v>600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54"/>
  <sheetViews>
    <sheetView topLeftCell="A38" zoomScaleNormal="100" workbookViewId="0">
      <selection activeCell="J22" sqref="J2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176</v>
      </c>
    </row>
    <row r="3" spans="1:14" ht="14.4" x14ac:dyDescent="0.3">
      <c r="B3" s="1" t="s">
        <v>152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/>
    </row>
    <row r="9" spans="1:14" ht="23.4" x14ac:dyDescent="0.4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8"/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3"/>
      <c r="N10" s="3"/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"/>
      <c r="N11" s="1"/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"/>
      <c r="N12" s="1"/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"/>
      <c r="N13" s="1"/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"/>
      <c r="N14" s="1"/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"/>
      <c r="N15" s="1"/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"/>
      <c r="N16" s="1"/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"/>
      <c r="N17" s="1"/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"/>
      <c r="N18" s="1"/>
    </row>
    <row r="19" spans="1:14" ht="14.4" x14ac:dyDescent="0.3">
      <c r="M19" s="1"/>
      <c r="N19" s="1"/>
    </row>
    <row r="21" spans="1:14" ht="23.4" x14ac:dyDescent="0.45">
      <c r="A21" s="18"/>
    </row>
    <row r="22" spans="1:14" ht="23.4" x14ac:dyDescent="0.45">
      <c r="A22" s="1"/>
      <c r="B22" s="1"/>
      <c r="C22" s="1"/>
      <c r="G22" s="18" t="s">
        <v>164</v>
      </c>
    </row>
    <row r="23" spans="1:14" ht="14.4" x14ac:dyDescent="0.3">
      <c r="A23" s="1"/>
      <c r="B23" s="1"/>
      <c r="G23" s="19" t="s">
        <v>43</v>
      </c>
      <c r="H23" s="19" t="s">
        <v>99</v>
      </c>
    </row>
    <row r="24" spans="1:14" ht="14.4" x14ac:dyDescent="0.3">
      <c r="A24" s="1"/>
      <c r="B24" s="1"/>
      <c r="G24" s="12">
        <v>10100</v>
      </c>
      <c r="H24" s="12" t="s">
        <v>89</v>
      </c>
    </row>
    <row r="25" spans="1:14" ht="14.4" x14ac:dyDescent="0.3">
      <c r="A25" s="1"/>
      <c r="B25" s="1"/>
      <c r="G25" s="12">
        <v>10102</v>
      </c>
      <c r="H25" s="12" t="s">
        <v>90</v>
      </c>
    </row>
    <row r="26" spans="1:14" ht="14.4" x14ac:dyDescent="0.3">
      <c r="A26" s="1"/>
      <c r="B26" s="1"/>
      <c r="G26" s="12">
        <v>10104</v>
      </c>
      <c r="H26" s="12" t="s">
        <v>91</v>
      </c>
    </row>
    <row r="27" spans="1:14" ht="14.4" x14ac:dyDescent="0.3">
      <c r="A27" s="1"/>
      <c r="B27" s="1"/>
      <c r="G27" s="12">
        <v>10106</v>
      </c>
      <c r="H27" s="12" t="s">
        <v>92</v>
      </c>
    </row>
    <row r="28" spans="1:14" ht="14.4" x14ac:dyDescent="0.3">
      <c r="A28" s="1"/>
      <c r="B28" s="1"/>
      <c r="G28" s="12">
        <v>10108</v>
      </c>
      <c r="H28" s="12" t="s">
        <v>93</v>
      </c>
    </row>
    <row r="29" spans="1:14" ht="14.4" x14ac:dyDescent="0.3">
      <c r="A29" s="1"/>
      <c r="B29" s="1"/>
      <c r="G29" s="12">
        <v>10110</v>
      </c>
      <c r="H29" s="12" t="s">
        <v>94</v>
      </c>
    </row>
    <row r="30" spans="1:14" ht="14.4" x14ac:dyDescent="0.3">
      <c r="A30" s="1"/>
      <c r="B30" s="1"/>
      <c r="G30" s="12">
        <v>10112</v>
      </c>
      <c r="H30" s="12" t="s">
        <v>95</v>
      </c>
    </row>
    <row r="31" spans="1:14" ht="14.4" x14ac:dyDescent="0.3">
      <c r="A31" s="1"/>
      <c r="B31" s="1"/>
      <c r="G31" s="12">
        <v>10114</v>
      </c>
      <c r="H31" s="12" t="s">
        <v>96</v>
      </c>
    </row>
    <row r="32" spans="1:14" ht="14.4" x14ac:dyDescent="0.3">
      <c r="A32" s="1"/>
      <c r="B32" s="1"/>
      <c r="G32" s="13">
        <v>10116</v>
      </c>
      <c r="H32" s="13" t="s">
        <v>97</v>
      </c>
    </row>
    <row r="33" spans="1:6" ht="14.4" x14ac:dyDescent="0.3">
      <c r="A33" s="1"/>
      <c r="B33" s="1"/>
    </row>
    <row r="34" spans="1:6" ht="14.4" x14ac:dyDescent="0.3">
      <c r="A34" s="1"/>
      <c r="B34" s="1"/>
    </row>
    <row r="35" spans="1:6" ht="14.4" x14ac:dyDescent="0.3">
      <c r="A35" s="1"/>
      <c r="B35" s="1"/>
    </row>
    <row r="39" spans="1:6" ht="23.4" x14ac:dyDescent="0.45">
      <c r="A39" s="18"/>
    </row>
    <row r="40" spans="1:6" ht="23.4" x14ac:dyDescent="0.45">
      <c r="A40" s="50"/>
      <c r="B40" s="3"/>
      <c r="D40" s="18" t="s">
        <v>169</v>
      </c>
    </row>
    <row r="41" spans="1:6" ht="14.4" x14ac:dyDescent="0.3">
      <c r="A41" s="7"/>
      <c r="B41" s="1"/>
      <c r="D41" s="14" t="s">
        <v>100</v>
      </c>
      <c r="E41" s="17" t="s">
        <v>101</v>
      </c>
      <c r="F41" s="16" t="s">
        <v>102</v>
      </c>
    </row>
    <row r="42" spans="1:6" ht="14.4" x14ac:dyDescent="0.3">
      <c r="A42" s="7"/>
      <c r="B42" s="1"/>
      <c r="D42" s="7">
        <v>10100</v>
      </c>
      <c r="E42" s="12">
        <v>10102</v>
      </c>
      <c r="F42" s="17" t="e">
        <v>#N/A</v>
      </c>
    </row>
    <row r="43" spans="1:6" ht="14.4" x14ac:dyDescent="0.3">
      <c r="A43" s="1"/>
      <c r="B43" s="1"/>
      <c r="D43" s="7">
        <v>10100</v>
      </c>
      <c r="E43" s="12">
        <v>10104</v>
      </c>
      <c r="F43" s="17" t="e">
        <v>#N/A</v>
      </c>
    </row>
    <row r="44" spans="1:6" ht="14.4" x14ac:dyDescent="0.3">
      <c r="A44" s="1"/>
      <c r="B44" s="1"/>
      <c r="D44" s="7">
        <v>10108</v>
      </c>
      <c r="E44" s="12">
        <v>10102</v>
      </c>
      <c r="F44" s="17" t="e">
        <v>#N/A</v>
      </c>
    </row>
    <row r="45" spans="1:6" ht="14.4" x14ac:dyDescent="0.3">
      <c r="A45" s="1"/>
      <c r="B45" s="1"/>
      <c r="D45" s="7">
        <v>10100</v>
      </c>
      <c r="E45" s="12">
        <v>10106</v>
      </c>
      <c r="F45" s="17" t="e">
        <v>#N/A</v>
      </c>
    </row>
    <row r="46" spans="1:6" ht="14.4" x14ac:dyDescent="0.3">
      <c r="A46" s="1"/>
      <c r="B46" s="1"/>
      <c r="D46" s="7">
        <v>10108</v>
      </c>
      <c r="E46" s="12">
        <v>10110</v>
      </c>
      <c r="F46" s="17" t="e">
        <v>#N/A</v>
      </c>
    </row>
    <row r="47" spans="1:6" ht="14.4" x14ac:dyDescent="0.3">
      <c r="A47" s="1"/>
      <c r="B47" s="1"/>
      <c r="D47" s="7">
        <v>10102</v>
      </c>
      <c r="E47" s="12">
        <v>10104</v>
      </c>
      <c r="F47" s="17" t="e">
        <v>#N/A</v>
      </c>
    </row>
    <row r="48" spans="1:6" ht="14.4" x14ac:dyDescent="0.3">
      <c r="A48" s="1"/>
      <c r="B48" s="1"/>
      <c r="D48" s="7">
        <v>10106</v>
      </c>
      <c r="E48" s="12">
        <v>10108</v>
      </c>
      <c r="F48" s="17" t="e">
        <v>#N/A</v>
      </c>
    </row>
    <row r="49" spans="1:6" ht="14.4" x14ac:dyDescent="0.3">
      <c r="A49" s="1"/>
      <c r="B49" s="1"/>
      <c r="D49" s="7">
        <v>10102</v>
      </c>
      <c r="E49" s="12">
        <v>10106</v>
      </c>
      <c r="F49" s="17" t="e">
        <v>#N/A</v>
      </c>
    </row>
    <row r="50" spans="1:6" ht="14.4" x14ac:dyDescent="0.3">
      <c r="D50" s="7">
        <v>10110</v>
      </c>
      <c r="E50" s="12">
        <v>10114</v>
      </c>
      <c r="F50" s="17" t="e">
        <v>#N/A</v>
      </c>
    </row>
    <row r="51" spans="1:6" ht="14.4" x14ac:dyDescent="0.3">
      <c r="D51" s="7">
        <v>10104</v>
      </c>
      <c r="E51" s="12">
        <v>10106</v>
      </c>
      <c r="F51" s="17" t="e">
        <v>#N/A</v>
      </c>
    </row>
    <row r="52" spans="1:6" ht="14.4" x14ac:dyDescent="0.3">
      <c r="D52" s="7">
        <v>10110</v>
      </c>
      <c r="E52" s="12">
        <v>10112</v>
      </c>
      <c r="F52" s="17" t="e">
        <v>#N/A</v>
      </c>
    </row>
    <row r="53" spans="1:6" ht="14.4" x14ac:dyDescent="0.3">
      <c r="D53" s="7">
        <v>10100</v>
      </c>
      <c r="E53" s="12">
        <v>10114</v>
      </c>
      <c r="F53" s="17" t="e">
        <v>#N/A</v>
      </c>
    </row>
    <row r="54" spans="1:6" ht="14.4" x14ac:dyDescent="0.3">
      <c r="D54" s="9">
        <v>10112</v>
      </c>
      <c r="E54" s="13">
        <v>10116</v>
      </c>
      <c r="F54" s="17" t="e"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Ravichandra Hallad</cp:lastModifiedBy>
  <dcterms:created xsi:type="dcterms:W3CDTF">2015-02-10T17:33:11Z</dcterms:created>
  <dcterms:modified xsi:type="dcterms:W3CDTF">2023-12-09T17:55:22Z</dcterms:modified>
</cp:coreProperties>
</file>